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MY Project\VBA Project\"/>
    </mc:Choice>
  </mc:AlternateContent>
  <xr:revisionPtr revIDLastSave="0" documentId="13_ncr:1_{8108253C-20FF-4FEC-8E9A-DDB14A3FD638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Billing Statement" sheetId="1" r:id="rId1"/>
    <sheet name="Billing Record" sheetId="2" r:id="rId2"/>
    <sheet name="Billing Tracker" sheetId="3" r:id="rId3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3" l="1"/>
  <c r="E11" i="3"/>
  <c r="E10" i="3"/>
  <c r="E9" i="3"/>
  <c r="E8" i="3"/>
  <c r="E7" i="3"/>
  <c r="E6" i="3"/>
  <c r="E5" i="3"/>
  <c r="G4" i="3"/>
  <c r="E4" i="3"/>
  <c r="H2" i="3"/>
  <c r="F2" i="3"/>
  <c r="D2" i="3"/>
  <c r="C2" i="3"/>
  <c r="B2" i="3"/>
  <c r="A2" i="3"/>
  <c r="H2" i="2"/>
  <c r="E2" i="2"/>
  <c r="B2" i="2"/>
  <c r="C2" i="2"/>
  <c r="D2" i="2"/>
  <c r="F2" i="2"/>
  <c r="A2" i="2"/>
  <c r="C23" i="1"/>
  <c r="C22" i="1"/>
  <c r="G5" i="3" l="1"/>
  <c r="G9" i="3"/>
  <c r="G8" i="3"/>
  <c r="G10" i="3"/>
  <c r="G6" i="3"/>
  <c r="G7" i="3"/>
  <c r="E2" i="3"/>
  <c r="C9" i="1"/>
  <c r="C24" i="1" s="1"/>
  <c r="G2" i="2" l="1"/>
  <c r="G2" i="3"/>
  <c r="H16" i="1"/>
  <c r="C25" i="1" s="1"/>
</calcChain>
</file>

<file path=xl/sharedStrings.xml><?xml version="1.0" encoding="utf-8"?>
<sst xmlns="http://schemas.openxmlformats.org/spreadsheetml/2006/main" count="58" uniqueCount="36">
  <si>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</si>
  <si>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</si>
  <si>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</si>
  <si>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</si>
  <si>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</si>
  <si>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</si>
  <si>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</si>
  <si>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</si>
  <si>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</si>
  <si>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</si>
  <si>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</si>
  <si>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</si>
  <si>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</si>
  <si>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</si>
  <si>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</si>
  <si>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</si>
  <si>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</si>
  <si>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</si>
  <si>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</si>
  <si>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</si>
  <si>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</si>
  <si>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</si>
  <si>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</si>
  <si>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</si>
  <si>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</si>
  <si>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</si>
  <si>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</si>
  <si>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</si>
  <si>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</si>
  <si>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</si>
  <si>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</si>
  <si>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ABC</t>
  </si>
  <si>
    <t>Billing Company</t>
  </si>
  <si>
    <t>Invoice Number</t>
  </si>
  <si>
    <t>Product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</si>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</sst>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m\ d\,\ yyyy;@"/>
  </numFmts>
  <fonts count="15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  <font>
      <sz val="11"/>
      <color rgb="FF000000"/>
      <name val="Gill Sans MT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6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shrinkToFit="1"/>
    </xf>
    <xf numFmtId="166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6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165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ill="1" applyBorder="1" applyAlignment="1">
      <alignment wrapText="1"/>
    </xf>
    <xf numFmtId="0" fontId="0" fillId="4" borderId="13" xfId="0" applyFill="1" applyBorder="1" applyAlignment="1">
      <alignment wrapText="1"/>
    </xf>
    <xf numFmtId="165" fontId="0" fillId="4" borderId="13" xfId="0" applyNumberFormat="1" applyFill="1" applyBorder="1" applyAlignment="1">
      <alignment wrapText="1"/>
    </xf>
    <xf numFmtId="165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165" fontId="11" fillId="3" borderId="15" xfId="0" applyNumberFormat="1" applyFont="1" applyFill="1" applyBorder="1"/>
    <xf numFmtId="165" fontId="12" fillId="3" borderId="15" xfId="0" applyNumberFormat="1" applyFont="1" applyFill="1" applyBorder="1"/>
    <xf numFmtId="14" fontId="0" fillId="0" borderId="0" xfId="0" applyNumberFormat="1"/>
    <xf numFmtId="0" fontId="0" fillId="5" borderId="0" xfId="0" applyFill="1"/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388620</xdr:colOff>
          <xdr:row>3</xdr:row>
          <xdr:rowOff>213360</xdr:rowOff>
        </xdr:from>
        <xdr:to>
          <xdr:col>12</xdr:col>
          <xdr:colOff>541020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Gill Sans MT"/>
                </a:rPr>
                <a:t>Update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480060</xdr:colOff>
          <xdr:row>6</xdr:row>
          <xdr:rowOff>152400</xdr:rowOff>
        </xdr:from>
        <xdr:to>
          <xdr:col>12</xdr:col>
          <xdr:colOff>518160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Gill Sans MT"/>
                </a:rPr>
                <a:t>BILL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487680</xdr:colOff>
      <xdr:row>9</xdr:row>
      <xdr:rowOff>53340</xdr:rowOff>
    </xdr:from>
    <xdr:to>
      <xdr:col>12</xdr:col>
      <xdr:colOff>594360</xdr:colOff>
      <xdr:row>10</xdr:row>
      <xdr:rowOff>213360</xdr:rowOff>
    </xdr:to>
    <xdr:sp macro="[0]!Invoice_Generation.new_cus" textlink="">
      <xdr:nvSpPr>
        <xdr:cNvPr id="2" name="Rectangle 1">
          <a:extLst>
            <a:ext uri="{FF2B5EF4-FFF2-40B4-BE49-F238E27FC236}">
              <a16:creationId xmlns:a16="http://schemas.microsoft.com/office/drawing/2014/main" id="{DC2D385E-EF38-6B3F-5810-DE79F34FFB00}"/>
            </a:ext>
          </a:extLst>
        </xdr:cNvPr>
        <xdr:cNvSpPr/>
      </xdr:nvSpPr>
      <xdr:spPr>
        <a:xfrm>
          <a:off x="9136380" y="2286000"/>
          <a:ext cx="1325880" cy="3886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solidFill>
                <a:schemeClr val="bg1"/>
              </a:solidFill>
            </a:rPr>
            <a:t>New</a:t>
          </a:r>
          <a:r>
            <a:rPr lang="en-IN" sz="1100" baseline="0">
              <a:solidFill>
                <a:schemeClr val="bg1"/>
              </a:solidFill>
            </a:rPr>
            <a:t> Customer</a:t>
          </a:r>
          <a:endParaRPr lang="en-IN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68580</xdr:colOff>
      <xdr:row>5</xdr:row>
      <xdr:rowOff>106680</xdr:rowOff>
    </xdr:from>
    <xdr:to>
      <xdr:col>16</xdr:col>
      <xdr:colOff>160020</xdr:colOff>
      <xdr:row>7</xdr:row>
      <xdr:rowOff>30480</xdr:rowOff>
    </xdr:to>
    <xdr:sp macro="[0]!Invoice_Generation.update_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8EBD98-1878-A94E-DEC6-44E9B07F0F0B}"/>
            </a:ext>
          </a:extLst>
        </xdr:cNvPr>
        <xdr:cNvSpPr/>
      </xdr:nvSpPr>
      <xdr:spPr>
        <a:xfrm>
          <a:off x="11155680" y="1379220"/>
          <a:ext cx="1310640" cy="42672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UPDATE ALL</a:t>
          </a: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6"/>
  <sheetViews>
    <sheetView showGridLines="0" tabSelected="1" workbookViewId="0">
      <selection activeCell="C15" sqref="C15"/>
    </sheetView>
  </sheetViews>
  <sheetFormatPr defaultRowHeight="18" x14ac:dyDescent="0.5"/>
  <cols>
    <col min="1" max="1" width="1.109375" customWidth="1"/>
    <col min="2" max="2" width="16.21875" customWidth="1"/>
    <col min="3" max="3" width="15.6640625" customWidth="1"/>
    <col min="4" max="4" width="20.6640625" customWidth="1"/>
    <col min="5" max="5" width="22.6640625" customWidth="1"/>
    <col min="6" max="8" width="10.6640625" customWidth="1"/>
  </cols>
  <sheetData>
    <row r="1" spans="2:8" ht="28.5" customHeight="1" x14ac:dyDescent="0.5">
      <c r="B1" s="8" t="s">
        <v>0</v>
      </c>
      <c r="C1" s="2"/>
      <c r="D1" s="2"/>
      <c r="E1" s="4"/>
      <c r="F1" s="4"/>
      <c r="G1" s="4"/>
      <c r="H1" s="4"/>
    </row>
    <row r="2" spans="2:8" x14ac:dyDescent="0.5">
      <c r="B2" s="30" t="s">
        <v>1</v>
      </c>
      <c r="C2" s="1"/>
      <c r="D2" s="1"/>
      <c r="E2" s="29" t="s">
        <v>2</v>
      </c>
      <c r="F2" s="11" t="s">
        <v>3</v>
      </c>
      <c r="H2" s="1"/>
    </row>
    <row r="3" spans="2:8" x14ac:dyDescent="0.5">
      <c r="B3" s="30" t="s">
        <v>4</v>
      </c>
      <c r="C3" s="1"/>
      <c r="D3" s="1"/>
      <c r="E3" s="29" t="s">
        <v>5</v>
      </c>
      <c r="F3" s="11" t="s">
        <v>6</v>
      </c>
      <c r="H3" s="1"/>
    </row>
    <row r="4" spans="2:8" x14ac:dyDescent="0.5">
      <c r="B4" s="30" t="s">
        <v>7</v>
      </c>
      <c r="C4" s="1"/>
      <c r="D4" s="1"/>
      <c r="E4" s="29" t="s">
        <v>8</v>
      </c>
      <c r="F4" s="1" t="s">
        <v>9</v>
      </c>
      <c r="G4" s="31"/>
      <c r="H4" s="1"/>
    </row>
    <row r="5" spans="2:8" x14ac:dyDescent="0.5">
      <c r="B5" s="1"/>
      <c r="C5" s="1"/>
      <c r="D5" s="1"/>
      <c r="E5" s="1"/>
      <c r="F5" s="12"/>
      <c r="G5" s="1"/>
      <c r="H5" s="1"/>
    </row>
    <row r="6" spans="2:8" ht="21.6" x14ac:dyDescent="0.55000000000000004">
      <c r="B6" s="5" t="s">
        <v>10</v>
      </c>
      <c r="C6" s="1"/>
      <c r="D6" s="1"/>
      <c r="E6" s="1"/>
      <c r="F6" s="12"/>
      <c r="G6" s="1"/>
      <c r="H6" s="1"/>
    </row>
    <row r="7" spans="2:8" x14ac:dyDescent="0.5">
      <c r="B7" s="1"/>
      <c r="C7" s="1"/>
      <c r="D7" s="1"/>
      <c r="E7" s="1"/>
      <c r="F7" s="12"/>
      <c r="G7" s="1"/>
      <c r="H7" s="1"/>
    </row>
    <row r="8" spans="2:8" x14ac:dyDescent="0.5">
      <c r="B8" s="29" t="s">
        <v>11</v>
      </c>
      <c r="C8" s="1" t="s">
        <v>12</v>
      </c>
      <c r="D8" s="9"/>
      <c r="E8" s="29" t="s">
        <v>13</v>
      </c>
      <c r="F8" s="1" t="s">
        <v>30</v>
      </c>
      <c r="G8" s="33" t="s">
        <v>31</v>
      </c>
      <c r="H8" s="13"/>
    </row>
    <row r="9" spans="2:8" x14ac:dyDescent="0.5">
      <c r="B9" s="29" t="s">
        <v>14</v>
      </c>
      <c r="C9" s="14">
        <f ca="1">TODAY()</f>
        <v>45815</v>
      </c>
      <c r="D9" s="10"/>
      <c r="E9" s="1"/>
      <c r="F9" s="1" t="s">
        <v>15</v>
      </c>
      <c r="H9" s="13"/>
    </row>
    <row r="10" spans="2:8" x14ac:dyDescent="0.5">
      <c r="B10" s="29" t="s">
        <v>16</v>
      </c>
      <c r="C10" s="1" t="s">
        <v>17</v>
      </c>
      <c r="D10" s="9"/>
      <c r="E10" s="1"/>
      <c r="F10" s="1" t="s">
        <v>1</v>
      </c>
      <c r="H10" s="13"/>
    </row>
    <row r="11" spans="2:8" x14ac:dyDescent="0.5">
      <c r="B11" s="1"/>
      <c r="C11" s="1"/>
      <c r="D11" s="1"/>
      <c r="E11" s="1"/>
      <c r="F11" s="1" t="s">
        <v>4</v>
      </c>
      <c r="H11" s="13"/>
    </row>
    <row r="12" spans="2:8" x14ac:dyDescent="0.5">
      <c r="B12" s="1"/>
      <c r="C12" s="1"/>
      <c r="D12" s="1"/>
      <c r="E12" s="1"/>
      <c r="F12" s="1" t="s">
        <v>7</v>
      </c>
      <c r="H12" s="13"/>
    </row>
    <row r="13" spans="2:8" x14ac:dyDescent="0.5">
      <c r="B13" s="4"/>
      <c r="C13" s="4"/>
      <c r="D13" s="4"/>
      <c r="E13" s="4"/>
      <c r="F13" s="4"/>
      <c r="G13" s="4"/>
      <c r="H13" s="4"/>
    </row>
    <row r="14" spans="2:8" ht="17.25" customHeight="1" x14ac:dyDescent="0.5">
      <c r="B14" s="34" t="s">
        <v>18</v>
      </c>
      <c r="C14" s="34" t="s">
        <v>33</v>
      </c>
      <c r="D14" s="34" t="s">
        <v>34</v>
      </c>
      <c r="E14" s="34" t="s">
        <v>35</v>
      </c>
      <c r="F14" s="34" t="s">
        <v>19</v>
      </c>
      <c r="G14" s="34" t="s">
        <v>20</v>
      </c>
      <c r="H14" s="35" t="s">
        <v>21</v>
      </c>
    </row>
    <row r="15" spans="2:8" ht="18.600000000000001" thickBot="1" x14ac:dyDescent="0.55000000000000004">
      <c r="B15" s="36">
        <v>45815</v>
      </c>
      <c r="C15" s="37">
        <v>146</v>
      </c>
      <c r="D15" s="37"/>
      <c r="E15" s="37"/>
      <c r="F15" s="38"/>
      <c r="G15" s="38"/>
      <c r="H15" s="39">
        <v>2500</v>
      </c>
    </row>
    <row r="16" spans="2:8" x14ac:dyDescent="0.5">
      <c r="B16" s="40"/>
      <c r="C16" s="41"/>
      <c r="D16" s="41"/>
      <c r="E16" s="41"/>
      <c r="F16" s="42"/>
      <c r="G16" s="43" t="s">
        <v>27</v>
      </c>
      <c r="H16" s="32">
        <f>SUBTOTAL(109,'Billing Statement'!$H$15:$H$15)</f>
        <v>2500</v>
      </c>
    </row>
    <row r="17" spans="2:8" x14ac:dyDescent="0.5">
      <c r="B17" s="3" t="s">
        <v>28</v>
      </c>
      <c r="C17" s="6"/>
      <c r="D17" s="7"/>
      <c r="E17" s="7"/>
      <c r="F17" s="1"/>
      <c r="G17" s="4"/>
      <c r="H17" s="4"/>
    </row>
    <row r="18" spans="2:8" x14ac:dyDescent="0.5">
      <c r="B18" s="3" t="s">
        <v>29</v>
      </c>
      <c r="C18" s="6"/>
      <c r="D18" s="1"/>
      <c r="E18" s="1"/>
      <c r="F18" s="1"/>
      <c r="G18" s="4"/>
      <c r="H18" s="4"/>
    </row>
    <row r="19" spans="2:8" x14ac:dyDescent="0.5">
      <c r="B19" s="1"/>
      <c r="C19" s="1"/>
      <c r="D19" s="1"/>
      <c r="E19" s="1"/>
      <c r="F19" s="1"/>
      <c r="G19" s="4"/>
      <c r="H19" s="4"/>
    </row>
    <row r="20" spans="2:8" x14ac:dyDescent="0.5">
      <c r="B20" s="15" t="s">
        <v>22</v>
      </c>
      <c r="C20" s="16"/>
      <c r="D20" s="16"/>
      <c r="E20" s="17"/>
      <c r="F20" s="1"/>
      <c r="G20" s="4"/>
      <c r="H20" s="4"/>
    </row>
    <row r="21" spans="2:8" x14ac:dyDescent="0.5">
      <c r="B21" s="18" t="s">
        <v>23</v>
      </c>
      <c r="C21" s="21" t="s">
        <v>24</v>
      </c>
      <c r="D21" s="21"/>
      <c r="E21" s="22"/>
      <c r="F21" s="1"/>
      <c r="G21" s="4"/>
      <c r="H21" s="4"/>
    </row>
    <row r="22" spans="2:8" x14ac:dyDescent="0.5">
      <c r="B22" s="18" t="s">
        <v>16</v>
      </c>
      <c r="C22" s="21" t="str">
        <f>C10</f>
        <v>Enter customer ID</v>
      </c>
      <c r="D22" s="21"/>
      <c r="E22" s="22"/>
      <c r="F22" s="1"/>
      <c r="G22" s="4"/>
      <c r="H22" s="4"/>
    </row>
    <row r="23" spans="2:8" x14ac:dyDescent="0.5">
      <c r="B23" s="19" t="s">
        <v>11</v>
      </c>
      <c r="C23" s="23" t="str">
        <f>C8</f>
        <v>Enter statement number</v>
      </c>
      <c r="D23" s="23"/>
      <c r="E23" s="24"/>
      <c r="F23" s="1"/>
      <c r="G23" s="4"/>
      <c r="H23" s="4"/>
    </row>
    <row r="24" spans="2:8" x14ac:dyDescent="0.5">
      <c r="B24" s="19" t="s">
        <v>14</v>
      </c>
      <c r="C24" s="25">
        <f ca="1">C9</f>
        <v>45815</v>
      </c>
      <c r="D24" s="25"/>
      <c r="E24" s="24"/>
      <c r="F24" s="1"/>
      <c r="G24" s="4"/>
      <c r="H24" s="4"/>
    </row>
    <row r="25" spans="2:8" x14ac:dyDescent="0.5">
      <c r="B25" s="19" t="s">
        <v>25</v>
      </c>
      <c r="C25" s="26">
        <f>'Billing Statement'!$H$16</f>
        <v>2500</v>
      </c>
      <c r="D25" s="26"/>
      <c r="E25" s="24"/>
      <c r="F25" s="1"/>
      <c r="G25" s="4"/>
      <c r="H25" s="4"/>
    </row>
    <row r="26" spans="2:8" x14ac:dyDescent="0.5">
      <c r="B26" s="20" t="s">
        <v>26</v>
      </c>
      <c r="C26" s="27"/>
      <c r="D26" s="27"/>
      <c r="E26" s="28"/>
      <c r="F26" s="1"/>
      <c r="G26" s="4"/>
      <c r="H26" s="4"/>
    </row>
  </sheetData>
  <printOptions horizontalCentered="1"/>
  <pageMargins left="0.5" right="0.5" top="0.5" bottom="0.5" header="0.25" footer="0.25"/>
  <pageSetup scale="51" fitToHeight="0" orientation="portrait" horizontalDpi="4294967294" r:id="rId1"/>
  <headerFooter>
    <oddHeader xml:space="preserve">&amp;L&amp;K000000
</oddHeader>
    <oddFooter>&amp;C&amp;10Page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voice_Generation.update_Tracker">
                <anchor moveWithCells="1" sizeWithCells="1">
                  <from>
                    <xdr:col>10</xdr:col>
                    <xdr:colOff>388620</xdr:colOff>
                    <xdr:row>3</xdr:row>
                    <xdr:rowOff>213360</xdr:rowOff>
                  </from>
                  <to>
                    <xdr:col>12</xdr:col>
                    <xdr:colOff>541020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_Bill">
                <anchor moveWithCells="1" sizeWithCells="1">
                  <from>
                    <xdr:col>10</xdr:col>
                    <xdr:colOff>480060</xdr:colOff>
                    <xdr:row>6</xdr:row>
                    <xdr:rowOff>152400</xdr:rowOff>
                  </from>
                  <to>
                    <xdr:col>12</xdr:col>
                    <xdr:colOff>518160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B7" sqref="B7"/>
    </sheetView>
  </sheetViews>
  <sheetFormatPr defaultRowHeight="18" x14ac:dyDescent="0.5"/>
  <cols>
    <col min="1" max="1" width="10.109375" bestFit="1" customWidth="1"/>
    <col min="2" max="2" width="13.44140625" bestFit="1" customWidth="1"/>
    <col min="3" max="7" width="10.109375" bestFit="1" customWidth="1"/>
    <col min="8" max="8" width="13.109375" bestFit="1" customWidth="1"/>
  </cols>
  <sheetData>
    <row r="1" spans="1:8" x14ac:dyDescent="0.5">
      <c r="A1" s="45" t="s">
        <v>18</v>
      </c>
      <c r="B1" s="45" t="s">
        <v>33</v>
      </c>
      <c r="C1" s="45" t="s">
        <v>34</v>
      </c>
      <c r="D1" s="45" t="s">
        <v>35</v>
      </c>
      <c r="E1" s="45" t="s">
        <v>19</v>
      </c>
      <c r="F1" s="45" t="s">
        <v>20</v>
      </c>
      <c r="G1" s="45" t="s">
        <v>21</v>
      </c>
      <c r="H1" s="45" t="s">
        <v>32</v>
      </c>
    </row>
    <row r="2" spans="1:8" x14ac:dyDescent="0.5">
      <c r="A2" s="44">
        <f>'Billing Statement'!B15</f>
        <v>45815</v>
      </c>
      <c r="B2">
        <f>'Billing Statement'!C15</f>
        <v>146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2500</v>
      </c>
      <c r="H2" t="str">
        <f>'Billing Statement'!G8</f>
        <v>ABC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3"/>
  <sheetViews>
    <sheetView workbookViewId="0">
      <selection activeCell="A23" sqref="A23:G23"/>
    </sheetView>
  </sheetViews>
  <sheetFormatPr defaultRowHeight="18" x14ac:dyDescent="0.5"/>
  <cols>
    <col min="1" max="1" width="10.109375" bestFit="1" customWidth="1"/>
    <col min="2" max="2" width="13.44140625" bestFit="1" customWidth="1"/>
    <col min="8" max="8" width="13.109375" bestFit="1" customWidth="1"/>
  </cols>
  <sheetData>
    <row r="1" spans="1:8" x14ac:dyDescent="0.5">
      <c r="A1" s="45" t="s">
        <v>18</v>
      </c>
      <c r="B1" s="45" t="s">
        <v>33</v>
      </c>
      <c r="C1" s="45" t="s">
        <v>34</v>
      </c>
      <c r="D1" s="45" t="s">
        <v>35</v>
      </c>
      <c r="E1" s="45" t="s">
        <v>19</v>
      </c>
      <c r="F1" s="45" t="s">
        <v>20</v>
      </c>
      <c r="G1" s="45" t="s">
        <v>21</v>
      </c>
      <c r="H1" s="45" t="s">
        <v>32</v>
      </c>
    </row>
    <row r="2" spans="1:8" x14ac:dyDescent="0.5">
      <c r="A2" s="44">
        <f>'Billing Statement'!B15</f>
        <v>45815</v>
      </c>
      <c r="B2">
        <f>'Billing Statement'!C15</f>
        <v>146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2500</v>
      </c>
      <c r="H2" t="str">
        <f>'Billing Statement'!G8</f>
        <v>ABC</v>
      </c>
    </row>
    <row r="3" spans="1:8" x14ac:dyDescent="0.5">
      <c r="A3" s="44">
        <v>45315</v>
      </c>
      <c r="B3">
        <v>123</v>
      </c>
      <c r="C3">
        <v>20</v>
      </c>
      <c r="D3">
        <v>2</v>
      </c>
      <c r="E3">
        <v>40</v>
      </c>
      <c r="F3">
        <v>30</v>
      </c>
      <c r="G3">
        <v>10</v>
      </c>
      <c r="H3" t="s">
        <v>31</v>
      </c>
    </row>
    <row r="4" spans="1:8" x14ac:dyDescent="0.5">
      <c r="A4" s="36">
        <v>45315</v>
      </c>
      <c r="B4" s="37">
        <v>123</v>
      </c>
      <c r="C4" s="37">
        <v>20</v>
      </c>
      <c r="D4" s="37">
        <v>2</v>
      </c>
      <c r="E4" s="38">
        <f t="shared" ref="E4:E10" si="0">C4*D4</f>
        <v>40</v>
      </c>
      <c r="F4" s="38">
        <v>30</v>
      </c>
      <c r="G4" s="39">
        <f>'Billing Statement'!$F$15:$F$15-'Billing Statement'!$G$15:$G$15</f>
        <v>0</v>
      </c>
    </row>
    <row r="5" spans="1:8" x14ac:dyDescent="0.5">
      <c r="A5" s="36">
        <v>45315</v>
      </c>
      <c r="B5" s="37">
        <v>123</v>
      </c>
      <c r="C5" s="37">
        <v>20</v>
      </c>
      <c r="D5" s="37">
        <v>2</v>
      </c>
      <c r="E5" s="38">
        <f t="shared" si="0"/>
        <v>40</v>
      </c>
      <c r="F5" s="38">
        <v>30</v>
      </c>
      <c r="G5" s="39">
        <f>'Billing Statement'!$F$15:$F$15-'Billing Statement'!$G$15:$G$15</f>
        <v>0</v>
      </c>
    </row>
    <row r="6" spans="1:8" x14ac:dyDescent="0.5">
      <c r="A6" s="36">
        <v>45315</v>
      </c>
      <c r="B6" s="37">
        <v>123</v>
      </c>
      <c r="C6" s="37">
        <v>20</v>
      </c>
      <c r="D6" s="37">
        <v>2</v>
      </c>
      <c r="E6" s="38">
        <f t="shared" si="0"/>
        <v>40</v>
      </c>
      <c r="F6" s="38">
        <v>30</v>
      </c>
      <c r="G6" s="39">
        <f>'Billing Statement'!$F$15:$F$15-'Billing Statement'!$G$15:$G$15</f>
        <v>0</v>
      </c>
    </row>
    <row r="7" spans="1:8" x14ac:dyDescent="0.5">
      <c r="A7" s="36">
        <v>45315</v>
      </c>
      <c r="B7" s="37">
        <v>123</v>
      </c>
      <c r="C7" s="37">
        <v>20</v>
      </c>
      <c r="D7" s="37">
        <v>2</v>
      </c>
      <c r="E7" s="38">
        <f t="shared" si="0"/>
        <v>40</v>
      </c>
      <c r="F7" s="38">
        <v>30</v>
      </c>
      <c r="G7" s="39">
        <f>'Billing Statement'!$F$15:$F$15-'Billing Statement'!$G$15:$G$15</f>
        <v>0</v>
      </c>
    </row>
    <row r="8" spans="1:8" x14ac:dyDescent="0.5">
      <c r="A8" s="36">
        <v>45806</v>
      </c>
      <c r="B8" s="37">
        <v>124</v>
      </c>
      <c r="C8" s="37"/>
      <c r="D8" s="37"/>
      <c r="E8" s="38">
        <f t="shared" si="0"/>
        <v>0</v>
      </c>
      <c r="F8" s="38"/>
      <c r="G8" s="39">
        <f>'Billing Statement'!$F$15:$F$15-'Billing Statement'!$G$15:$G$15</f>
        <v>0</v>
      </c>
    </row>
    <row r="9" spans="1:8" x14ac:dyDescent="0.5">
      <c r="A9" s="36">
        <v>45806</v>
      </c>
      <c r="B9" s="37">
        <v>124</v>
      </c>
      <c r="C9" s="37"/>
      <c r="D9" s="37"/>
      <c r="E9" s="38">
        <f t="shared" si="0"/>
        <v>0</v>
      </c>
      <c r="F9" s="38"/>
      <c r="G9" s="39">
        <f>'Billing Statement'!$F$15:$F$15-'Billing Statement'!$G$15:$G$15</f>
        <v>0</v>
      </c>
    </row>
    <row r="10" spans="1:8" x14ac:dyDescent="0.5">
      <c r="A10" s="36">
        <v>45806</v>
      </c>
      <c r="B10" s="37">
        <v>124</v>
      </c>
      <c r="C10" s="37"/>
      <c r="D10" s="37"/>
      <c r="E10" s="38">
        <f t="shared" si="0"/>
        <v>0</v>
      </c>
      <c r="F10" s="38"/>
      <c r="G10" s="39">
        <f>'Billing Statement'!$F$15:$F$15-'Billing Statement'!$G$15:$G$15</f>
        <v>0</v>
      </c>
    </row>
    <row r="11" spans="1:8" x14ac:dyDescent="0.5">
      <c r="A11" s="36">
        <v>45806</v>
      </c>
      <c r="B11" s="37">
        <v>125</v>
      </c>
      <c r="C11" s="37"/>
      <c r="D11" s="37"/>
      <c r="E11" s="38">
        <f>C11*D11</f>
        <v>0</v>
      </c>
      <c r="F11" s="38"/>
      <c r="G11" s="39">
        <f>'Billing Statement'!$F$15:$F$15-'Billing Statement'!$G$15:$G$15</f>
        <v>0</v>
      </c>
    </row>
    <row r="12" spans="1:8" x14ac:dyDescent="0.5">
      <c r="A12" s="36">
        <v>45809</v>
      </c>
      <c r="B12" s="37">
        <v>129</v>
      </c>
      <c r="C12" s="37"/>
      <c r="D12" s="37"/>
      <c r="E12" s="38">
        <v>4500</v>
      </c>
      <c r="F12" s="38"/>
      <c r="G12" s="39">
        <v>2500</v>
      </c>
    </row>
    <row r="13" spans="1:8" x14ac:dyDescent="0.5">
      <c r="A13" s="36">
        <v>45809</v>
      </c>
      <c r="B13" s="37">
        <v>129</v>
      </c>
      <c r="C13" s="37"/>
      <c r="D13" s="37"/>
      <c r="E13" s="38">
        <v>4500</v>
      </c>
      <c r="F13" s="38"/>
      <c r="G13" s="39">
        <v>2500</v>
      </c>
    </row>
    <row r="14" spans="1:8" x14ac:dyDescent="0.5">
      <c r="A14" s="36">
        <v>45809</v>
      </c>
      <c r="B14" s="37">
        <v>129</v>
      </c>
      <c r="C14" s="37"/>
      <c r="D14" s="37"/>
      <c r="E14" s="38">
        <v>4500</v>
      </c>
      <c r="F14" s="38"/>
      <c r="G14" s="39">
        <v>2500</v>
      </c>
    </row>
    <row r="15" spans="1:8" x14ac:dyDescent="0.5">
      <c r="A15" s="36">
        <v>45809</v>
      </c>
      <c r="B15" s="37">
        <v>129</v>
      </c>
      <c r="C15" s="37"/>
      <c r="D15" s="37"/>
      <c r="E15" s="38">
        <v>4500</v>
      </c>
      <c r="F15" s="38"/>
      <c r="G15" s="39">
        <v>2500</v>
      </c>
    </row>
    <row r="16" spans="1:8" x14ac:dyDescent="0.5">
      <c r="A16" s="36">
        <v>45809</v>
      </c>
      <c r="B16" s="37">
        <v>130</v>
      </c>
      <c r="C16" s="37"/>
      <c r="D16" s="37"/>
      <c r="E16" s="38">
        <v>4500</v>
      </c>
      <c r="F16" s="38"/>
      <c r="G16" s="39">
        <v>2500</v>
      </c>
    </row>
    <row r="17" spans="1:7" x14ac:dyDescent="0.5">
      <c r="A17" s="36">
        <v>45809</v>
      </c>
      <c r="B17" s="37">
        <v>130</v>
      </c>
      <c r="C17" s="37"/>
      <c r="D17" s="37"/>
      <c r="E17" s="38">
        <v>4500</v>
      </c>
      <c r="F17" s="38"/>
      <c r="G17" s="39">
        <v>2500</v>
      </c>
    </row>
    <row r="18" spans="1:7" x14ac:dyDescent="0.5">
      <c r="A18" s="36">
        <v>45809</v>
      </c>
      <c r="B18" s="37">
        <v>137</v>
      </c>
      <c r="C18" s="37"/>
      <c r="D18" s="37"/>
      <c r="E18" s="38">
        <v>4500</v>
      </c>
      <c r="F18" s="38"/>
      <c r="G18" s="39">
        <v>2500</v>
      </c>
    </row>
    <row r="19" spans="1:7" x14ac:dyDescent="0.5">
      <c r="A19" s="36">
        <v>45809</v>
      </c>
      <c r="B19" s="37">
        <v>140</v>
      </c>
      <c r="C19" s="37"/>
      <c r="D19" s="37"/>
      <c r="E19" s="38"/>
      <c r="F19" s="38"/>
      <c r="G19" s="39">
        <v>2500</v>
      </c>
    </row>
    <row r="20" spans="1:7" x14ac:dyDescent="0.5">
      <c r="A20" s="36">
        <v>45809</v>
      </c>
      <c r="B20" s="37">
        <v>141</v>
      </c>
      <c r="C20" s="37"/>
      <c r="D20" s="37"/>
      <c r="E20" s="38"/>
      <c r="F20" s="38"/>
      <c r="G20" s="39">
        <v>2500</v>
      </c>
    </row>
    <row r="21" spans="1:7" x14ac:dyDescent="0.5">
      <c r="A21" s="36">
        <v>45815</v>
      </c>
      <c r="B21" s="37">
        <v>143</v>
      </c>
      <c r="C21" s="37"/>
      <c r="D21" s="37"/>
      <c r="E21" s="38"/>
      <c r="F21" s="38"/>
      <c r="G21" s="39">
        <v>2500</v>
      </c>
    </row>
    <row r="22" spans="1:7" x14ac:dyDescent="0.5">
      <c r="A22" s="36">
        <v>45815</v>
      </c>
      <c r="B22" s="37">
        <v>145</v>
      </c>
      <c r="C22" s="37"/>
      <c r="D22" s="37"/>
      <c r="E22" s="38"/>
      <c r="F22" s="38"/>
      <c r="G22" s="39">
        <v>2500</v>
      </c>
    </row>
    <row r="23" spans="1:7" x14ac:dyDescent="0.5">
      <c r="A23" s="36">
        <v>45815</v>
      </c>
      <c r="B23" s="37">
        <v>145</v>
      </c>
      <c r="C23" s="37"/>
      <c r="D23" s="37"/>
      <c r="E23" s="38"/>
      <c r="F23" s="38"/>
      <c r="G23" s="39">
        <v>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Billing Statement</vt:lpstr>
      <vt:lpstr>Billing Record</vt:lpstr>
      <vt:lpstr>Billing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Anandhan V S</cp:lastModifiedBy>
  <cp:lastPrinted>2025-06-07T13:35:28Z</cp:lastPrinted>
  <dcterms:created xsi:type="dcterms:W3CDTF">2006-09-15T19:15:53Z</dcterms:created>
  <dcterms:modified xsi:type="dcterms:W3CDTF">2025-06-07T13:40:06Z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